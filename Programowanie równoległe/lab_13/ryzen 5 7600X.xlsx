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\Programowanie równoległe\lab_13\"/>
    </mc:Choice>
  </mc:AlternateContent>
  <xr:revisionPtr revIDLastSave="0" documentId="13_ncr:1_{ED1FB708-C767-400A-92B8-D1178AFCA537}" xr6:coauthVersionLast="47" xr6:coauthVersionMax="47" xr10:uidLastSave="{00000000-0000-0000-0000-000000000000}"/>
  <bookViews>
    <workbookView xWindow="-120" yWindow="-120" windowWidth="29040" windowHeight="15720" xr2:uid="{83BCF7F2-8C3D-422A-8B56-2EA3527EE29E}"/>
  </bookViews>
  <sheets>
    <sheet name="calka" sheetId="1" r:id="rId1"/>
    <sheet name="mat_ve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2" l="1"/>
  <c r="E13" i="2"/>
  <c r="E12" i="2"/>
  <c r="E11" i="2"/>
  <c r="E10" i="2"/>
  <c r="E9" i="2"/>
  <c r="Q4" i="2"/>
  <c r="B14" i="2" s="1"/>
  <c r="N4" i="2"/>
  <c r="B13" i="2" s="1"/>
  <c r="K4" i="2"/>
  <c r="B12" i="2" s="1"/>
  <c r="H4" i="2"/>
  <c r="B11" i="2" s="1"/>
  <c r="E4" i="2"/>
  <c r="B10" i="2" s="1"/>
  <c r="B4" i="2"/>
  <c r="B9" i="2" s="1"/>
  <c r="E11" i="1"/>
  <c r="E12" i="1"/>
  <c r="E13" i="1"/>
  <c r="E14" i="1"/>
  <c r="E15" i="1"/>
  <c r="E10" i="1"/>
  <c r="D11" i="1"/>
  <c r="D12" i="1"/>
  <c r="D13" i="1"/>
  <c r="D14" i="1"/>
  <c r="D15" i="1"/>
  <c r="D10" i="1"/>
  <c r="C11" i="1"/>
  <c r="C12" i="1"/>
  <c r="C13" i="1"/>
  <c r="C14" i="1"/>
  <c r="C15" i="1"/>
  <c r="C10" i="1"/>
  <c r="B15" i="1"/>
  <c r="B14" i="1"/>
  <c r="B13" i="1"/>
  <c r="N5" i="1"/>
  <c r="Q5" i="1"/>
  <c r="K5" i="1"/>
  <c r="C11" i="2" l="1"/>
  <c r="D11" i="2" s="1"/>
  <c r="C10" i="2"/>
  <c r="D10" i="2" s="1"/>
  <c r="C14" i="2"/>
  <c r="D14" i="2" s="1"/>
  <c r="C12" i="2"/>
  <c r="D12" i="2" s="1"/>
  <c r="C9" i="2"/>
  <c r="D9" i="2" s="1"/>
  <c r="C13" i="2"/>
  <c r="D13" i="2" s="1"/>
  <c r="E5" i="1" l="1"/>
  <c r="B11" i="1" s="1"/>
  <c r="H5" i="1"/>
  <c r="B12" i="1" s="1"/>
  <c r="B5" i="1"/>
  <c r="B1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Miłosz Dębowski</author>
  </authors>
  <commentList>
    <comment ref="A10" authorId="0" shapeId="0" xr:uid="{5924F99F-086F-4038-857F-4C173A69AE16}">
      <text>
        <r>
          <rPr>
            <b/>
            <sz val="9"/>
            <color indexed="81"/>
            <rFont val="Tahoma"/>
            <family val="2"/>
            <charset val="238"/>
          </rPr>
          <t>Miłosz Dębowski:</t>
        </r>
        <r>
          <rPr>
            <sz val="9"/>
            <color indexed="81"/>
            <rFont val="Tahoma"/>
            <family val="2"/>
            <charset val="238"/>
          </rPr>
          <t xml:space="preserve">
- Dla 1 wątku: Czas wynosi 0,077019, co jest spodziewane, ponieważ wykonanie programu odbywa się sekwencyjnie.
- Dla 2 wątków: Czas spada do 0,038239, co jest prawie idealnym przyspieszeniem (blisko 2 razy szybciej).
- Dla 4 wątków: Czas wynosi 0,019700, co jest bardzo bliskie oczekiwanemu przyspieszeniu (4 razy szybciej).
- Dla 6 wątków: Czas wzrasta do 0,025387, co jest nietypowe, ponieważ oczekiwane jest skrócenie czasu w stosunku do 4 wątków.
- Dla 8 i 12 wątków: Czas wynosi odpowiednio 0,021406 i 0,017042, co sugeruje, że zwiększenie liczby wątków logicznych (przekraczających liczbę rdzeni fizycznych) daje pewne korzyści, ale nieproporcjonalne.
Analiza:
1. Czas dla 6 wątków:
   Wynik dla 6 wątków jest wyraźnie wolniejszy niż dla 4 wątków. To może wynikać z:
   - Braku równomiernego podziału obciążenia między rdzenie.
   - Narzutów związanych z synchronizacją w programie.
   - Zasobów sprzętowych (cache, pamięć) niewystarczających dla 6 wątków jednocześnie.
2. Czas dla 8 i 12 wątków:
   Wykorzystanie więcej niż 6 wątków (rdzeni fizycznych) korzysta z hyper-threadingu (SMT). Efektywność SMT zwykle wynosi maksymalnie 30% dodatkowego przyspieszenia. Zatem wynik dla 12 wątków jest zgodny z oczekiwaniami (najkrótszy czas), ale wzrost nie jest proporcjonalny do liczby wątków.
3. Poprawność wyników:
   Wyniki wydają się poprawne, choć wskazują na potencjalne problemy z efektywnym zrównolegleniem dla 6 wątków. Możesz zweryfikować:
   - Czy równomiernie rozkładasz obciążenie między wątki.
   - Czy pamięć podręczna procesora nie jest przeciążona.
 Wnioski:
-mogą występować wąskie gardła.
- Oczekuje się liniowego spadku czasu dla liczby wątków ≤ liczba rdzeni fizycznych (do 6). Wynik dla 6 wątków sugeruje konieczność analizy synchronizacji lub podziału danych.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Miłosz Dębowski</author>
  </authors>
  <commentList>
    <comment ref="N2" authorId="0" shapeId="0" xr:uid="{E71AFCB3-9B2D-4590-95FF-3DF2D7B092E2}">
      <text>
        <r>
          <rPr>
            <b/>
            <sz val="9"/>
            <color indexed="81"/>
            <rFont val="Tahoma"/>
            <family val="2"/>
            <charset val="238"/>
          </rPr>
          <t>Miłosz Dębowski:</t>
        </r>
        <r>
          <rPr>
            <sz val="9"/>
            <color indexed="81"/>
            <rFont val="Tahoma"/>
            <family val="2"/>
            <charset val="238"/>
          </rPr>
          <t xml:space="preserve">
--use-hwthread-cpus
</t>
        </r>
      </text>
    </comment>
  </commentList>
</comments>
</file>

<file path=xl/sharedStrings.xml><?xml version="1.0" encoding="utf-8"?>
<sst xmlns="http://schemas.openxmlformats.org/spreadsheetml/2006/main" count="23" uniqueCount="11">
  <si>
    <t>Czas wykonania</t>
  </si>
  <si>
    <t>Obliczona całka</t>
  </si>
  <si>
    <t>Ilość wątków</t>
  </si>
  <si>
    <t>Czas wykonania[s]</t>
  </si>
  <si>
    <t>Średnia czasu wykonania[s]</t>
  </si>
  <si>
    <t>Procesor:</t>
  </si>
  <si>
    <t>AMD Ryzen 5 7600X 6 rdzeni fizycznych 12 wątków logicznych</t>
  </si>
  <si>
    <t>Przyspieszenie</t>
  </si>
  <si>
    <t>Efektywność zrównoleglenia</t>
  </si>
  <si>
    <t>Przyspieszenie idealne</t>
  </si>
  <si>
    <t>Efektywność idealna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</si>
</sst>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9" formatCode="0.000000000000000"/>
  </numFmts>
  <fonts count="3" x14ac:knownFonts="1">
    <font>
      <sz val="11"/>
      <color theme="1"/>
      <name val="Aptos Narrow"/>
      <family val="2"/>
      <charset val="238"/>
      <scheme val="minor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169" fontId="0" fillId="0" borderId="0" xfId="0" applyNumberFormat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Wykres</a:t>
            </a:r>
            <a:r>
              <a:rPr lang="pl-PL" baseline="0"/>
              <a:t> liczby procesów p od przyspieszenia wykonania 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calka!$C$9</c:f>
              <c:strCache>
                <c:ptCount val="1"/>
                <c:pt idx="0">
                  <c:v>Przyspieszenie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calka!$A$10:$A$15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12</c:v>
                </c:pt>
              </c:numCache>
            </c:numRef>
          </c:xVal>
          <c:yVal>
            <c:numRef>
              <c:f>calka!$C$10:$C$15</c:f>
              <c:numCache>
                <c:formatCode>General</c:formatCode>
                <c:ptCount val="6"/>
                <c:pt idx="0">
                  <c:v>1</c:v>
                </c:pt>
                <c:pt idx="1">
                  <c:v>2.0141567000244081</c:v>
                </c:pt>
                <c:pt idx="2">
                  <c:v>3.9095769881556683</c:v>
                </c:pt>
                <c:pt idx="3">
                  <c:v>3.0337836950670294</c:v>
                </c:pt>
                <c:pt idx="4">
                  <c:v>3.5980503604964418</c:v>
                </c:pt>
                <c:pt idx="5">
                  <c:v>4.5192559704265847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EB-4851-9CB4-1A81266A81F4}"/>
            </c:ext>
          </c:extLst>
        </c:ser>
        <c:ser>
          <c:idx val="1"/>
          <c:order val="1"/>
          <c:tx>
            <c:strRef>
              <c:f>calka!$E$9</c:f>
              <c:strCache>
                <c:ptCount val="1"/>
                <c:pt idx="0">
                  <c:v>Przyspieszenie idealne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calka!$A$10:$A$15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12</c:v>
                </c:pt>
              </c:numCache>
            </c:numRef>
          </c:xVal>
          <c:yVal>
            <c:numRef>
              <c:f>calka!$E$10:$E$15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EB-4851-9CB4-1A81266A81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4950735"/>
        <c:axId val="1644947855"/>
      </c:scatterChart>
      <c:valAx>
        <c:axId val="1644950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Ilość</a:t>
                </a:r>
                <a:r>
                  <a:rPr lang="pl-PL" baseline="0"/>
                  <a:t> wątków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44947855"/>
        <c:crosses val="autoZero"/>
        <c:crossBetween val="midCat"/>
      </c:valAx>
      <c:valAx>
        <c:axId val="1644947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S(p)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449507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Wykres liczby procesów p od czasu wykonania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calka!$B$9</c:f>
              <c:strCache>
                <c:ptCount val="1"/>
                <c:pt idx="0">
                  <c:v>Czas wykonania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calka!$A$10:$A$15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12</c:v>
                </c:pt>
              </c:numCache>
            </c:numRef>
          </c:xVal>
          <c:yVal>
            <c:numRef>
              <c:f>calka!$B$10:$B$15</c:f>
              <c:numCache>
                <c:formatCode>0.000000</c:formatCode>
                <c:ptCount val="6"/>
                <c:pt idx="0">
                  <c:v>7.7018666666666666E-2</c:v>
                </c:pt>
                <c:pt idx="1">
                  <c:v>3.8238666666666671E-2</c:v>
                </c:pt>
                <c:pt idx="2">
                  <c:v>1.9699999999999999E-2</c:v>
                </c:pt>
                <c:pt idx="3">
                  <c:v>2.5386999999999996E-2</c:v>
                </c:pt>
                <c:pt idx="4">
                  <c:v>2.1405666666666667E-2</c:v>
                </c:pt>
                <c:pt idx="5">
                  <c:v>1.7042333333333333E-2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FB-4B8C-9C2C-1E715B451B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4319839"/>
        <c:axId val="1665125007"/>
      </c:scatterChart>
      <c:valAx>
        <c:axId val="1654319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Ilość</a:t>
                </a:r>
                <a:r>
                  <a:rPr lang="pl-PL" baseline="0"/>
                  <a:t> wątków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65125007"/>
        <c:crosses val="autoZero"/>
        <c:crossBetween val="midCat"/>
      </c:valAx>
      <c:valAx>
        <c:axId val="1665125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54319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Wykres liczby procesów p od efektywności zrównoleglenia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calka!$D$9</c:f>
              <c:strCache>
                <c:ptCount val="1"/>
                <c:pt idx="0">
                  <c:v>Efektywność zrównoleglenia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calka!$A$10:$A$15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12</c:v>
                </c:pt>
              </c:numCache>
            </c:numRef>
          </c:xVal>
          <c:yVal>
            <c:numRef>
              <c:f>calka!$D$10:$D$15</c:f>
              <c:numCache>
                <c:formatCode>General</c:formatCode>
                <c:ptCount val="6"/>
                <c:pt idx="0">
                  <c:v>1</c:v>
                </c:pt>
                <c:pt idx="1">
                  <c:v>1.007078350012204</c:v>
                </c:pt>
                <c:pt idx="2">
                  <c:v>0.97739424703891709</c:v>
                </c:pt>
                <c:pt idx="3">
                  <c:v>0.50563061584450486</c:v>
                </c:pt>
                <c:pt idx="4">
                  <c:v>0.44975629506205522</c:v>
                </c:pt>
                <c:pt idx="5">
                  <c:v>0.37660466420221539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45-4B28-B39C-04BA1DF4A52D}"/>
            </c:ext>
          </c:extLst>
        </c:ser>
        <c:ser>
          <c:idx val="1"/>
          <c:order val="1"/>
          <c:tx>
            <c:strRef>
              <c:f>calka!$F$9</c:f>
              <c:strCache>
                <c:ptCount val="1"/>
                <c:pt idx="0">
                  <c:v>Efektywność idealna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calka!$A$10:$A$15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12</c:v>
                </c:pt>
              </c:numCache>
            </c:numRef>
          </c:xVal>
          <c:yVal>
            <c:numRef>
              <c:f>calka!$F$10:$F$15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45-4B28-B39C-04BA1DF4A5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9912463"/>
        <c:axId val="1669918223"/>
      </c:scatterChart>
      <c:valAx>
        <c:axId val="1669912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Ilość</a:t>
                </a:r>
                <a:r>
                  <a:rPr lang="pl-PL" baseline="0"/>
                  <a:t> wątków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69918223"/>
        <c:crosses val="autoZero"/>
        <c:crossBetween val="midCat"/>
      </c:valAx>
      <c:valAx>
        <c:axId val="1669918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Efektywność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699124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Wykres</a:t>
            </a:r>
            <a:r>
              <a:rPr lang="pl-PL" baseline="0"/>
              <a:t> liczby procesów p od przyspieszenia wykonania 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mat_vec!$A$9:$A$15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12</c:v>
                </c:pt>
              </c:numCache>
            </c:numRef>
          </c:xVal>
          <c:yVal>
            <c:numRef>
              <c:f>mat_vec!$C$9:$C$15</c:f>
              <c:numCache>
                <c:formatCode>General</c:formatCode>
                <c:ptCount val="7"/>
                <c:pt idx="0">
                  <c:v>1</c:v>
                </c:pt>
                <c:pt idx="1">
                  <c:v>2.0372756702391799</c:v>
                </c:pt>
                <c:pt idx="2">
                  <c:v>3.8860134689554564</c:v>
                </c:pt>
                <c:pt idx="3">
                  <c:v>4.1066035942812489</c:v>
                </c:pt>
                <c:pt idx="4">
                  <c:v>4.3004998009642188</c:v>
                </c:pt>
                <c:pt idx="5">
                  <c:v>4.070244474212994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0A-4F82-B1E2-B214B06ABF5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mat_vec!$A$9:$A$15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12</c:v>
                </c:pt>
              </c:numCache>
            </c:numRef>
          </c:xVal>
          <c:yVal>
            <c:numRef>
              <c:f>mat_vec!$E$9:$E$15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D0A-4F82-B1E2-B214B06ABF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4950735"/>
        <c:axId val="1644947855"/>
      </c:scatterChart>
      <c:valAx>
        <c:axId val="1644950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Ilość</a:t>
                </a:r>
                <a:r>
                  <a:rPr lang="pl-PL" baseline="0"/>
                  <a:t> wątków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44947855"/>
        <c:crosses val="autoZero"/>
        <c:crossBetween val="midCat"/>
      </c:valAx>
      <c:valAx>
        <c:axId val="1644947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S(p)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449507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Wykres liczby procesów p od czasu wykonania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mat_vec!$A$9:$A$15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12</c:v>
                </c:pt>
              </c:numCache>
            </c:numRef>
          </c:xVal>
          <c:yVal>
            <c:numRef>
              <c:f>mat_vec!$B$9:$B$15</c:f>
              <c:numCache>
                <c:formatCode>0.000000</c:formatCode>
                <c:ptCount val="7"/>
                <c:pt idx="0">
                  <c:v>6.4820000000000003E-2</c:v>
                </c:pt>
                <c:pt idx="1">
                  <c:v>3.1817000000000005E-2</c:v>
                </c:pt>
                <c:pt idx="2">
                  <c:v>1.6680333333333335E-2</c:v>
                </c:pt>
                <c:pt idx="3">
                  <c:v>1.5784333333333334E-2</c:v>
                </c:pt>
                <c:pt idx="4">
                  <c:v>1.5072666666666665E-2</c:v>
                </c:pt>
                <c:pt idx="5">
                  <c:v>1.5925333333333333E-2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09-4BE1-B671-B029504F1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4319839"/>
        <c:axId val="1665125007"/>
      </c:scatterChart>
      <c:valAx>
        <c:axId val="1654319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Ilość</a:t>
                </a:r>
                <a:r>
                  <a:rPr lang="pl-PL" baseline="0"/>
                  <a:t> wątków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65125007"/>
        <c:crosses val="autoZero"/>
        <c:crossBetween val="midCat"/>
      </c:valAx>
      <c:valAx>
        <c:axId val="1665125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54319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Wykres liczby procesów p od efektywności zrównoleglenia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mat_vec!$A$9:$A$15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12</c:v>
                </c:pt>
              </c:numCache>
            </c:numRef>
          </c:xVal>
          <c:yVal>
            <c:numRef>
              <c:f>mat_vec!$D$9:$D$15</c:f>
              <c:numCache>
                <c:formatCode>General</c:formatCode>
                <c:ptCount val="7"/>
                <c:pt idx="0">
                  <c:v>1</c:v>
                </c:pt>
                <c:pt idx="1">
                  <c:v>1.0186378351195899</c:v>
                </c:pt>
                <c:pt idx="2">
                  <c:v>0.9715033672388641</c:v>
                </c:pt>
                <c:pt idx="3">
                  <c:v>0.68443393238020811</c:v>
                </c:pt>
                <c:pt idx="4">
                  <c:v>0.53756247512052735</c:v>
                </c:pt>
                <c:pt idx="5">
                  <c:v>0.33918703951774948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A9-49C2-88E6-062647F0430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mat_vec!$A$9:$A$15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12</c:v>
                </c:pt>
              </c:numCache>
            </c:numRef>
          </c:xVal>
          <c:yVal>
            <c:numRef>
              <c:f>mat_vec!$F$9:$F$15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4A9-49C2-88E6-062647F043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9912463"/>
        <c:axId val="1669918223"/>
      </c:scatterChart>
      <c:valAx>
        <c:axId val="1669912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Ilość</a:t>
                </a:r>
                <a:r>
                  <a:rPr lang="pl-PL" baseline="0"/>
                  <a:t> wątków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69918223"/>
        <c:crosses val="autoZero"/>
        <c:crossBetween val="midCat"/>
      </c:valAx>
      <c:valAx>
        <c:axId val="1669918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Efektywność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699124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390525</xdr:colOff>
      <xdr:row>16</xdr:row>
      <xdr:rowOff>128587</xdr:rowOff>
    </xdr:from>
    <xdr:to>
      <xdr:col>4</xdr:col>
      <xdr:colOff>257175</xdr:colOff>
      <xdr:row>31</xdr:row>
      <xdr:rowOff>14287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7086E377-6339-7439-9F1E-F394ACF04C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466725</xdr:colOff>
      <xdr:row>16</xdr:row>
      <xdr:rowOff>128587</xdr:rowOff>
    </xdr:from>
    <xdr:to>
      <xdr:col>10</xdr:col>
      <xdr:colOff>66675</xdr:colOff>
      <xdr:row>31</xdr:row>
      <xdr:rowOff>14287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E1BC035D-14AE-59A9-B51A-75DAEDF066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66675</xdr:colOff>
      <xdr:row>16</xdr:row>
      <xdr:rowOff>109537</xdr:rowOff>
    </xdr:from>
    <xdr:to>
      <xdr:col>19</xdr:col>
      <xdr:colOff>66675</xdr:colOff>
      <xdr:row>30</xdr:row>
      <xdr:rowOff>185737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CED3E64B-DFFC-1447-A8AB-EBC65C7CA1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19050</xdr:rowOff>
    </xdr:from>
    <xdr:to>
      <xdr:col>3</xdr:col>
      <xdr:colOff>1609725</xdr:colOff>
      <xdr:row>33</xdr:row>
      <xdr:rowOff>95250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A59399EC-D2B7-46C9-A546-4260951434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76200</xdr:colOff>
      <xdr:row>19</xdr:row>
      <xdr:rowOff>19050</xdr:rowOff>
    </xdr:from>
    <xdr:to>
      <xdr:col>9</xdr:col>
      <xdr:colOff>247650</xdr:colOff>
      <xdr:row>33</xdr:row>
      <xdr:rowOff>95250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07A388CF-BF18-4E76-9F67-0F6BF3FC0B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247650</xdr:colOff>
      <xdr:row>19</xdr:row>
      <xdr:rowOff>0</xdr:rowOff>
    </xdr:from>
    <xdr:to>
      <xdr:col>18</xdr:col>
      <xdr:colOff>209550</xdr:colOff>
      <xdr:row>33</xdr:row>
      <xdr:rowOff>76200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42E4E16C-44D3-4EBC-9D46-E74B748F97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23A2F-987C-40ED-B07B-25866A6997F2}">
  <dimension ref="A1:S15"/>
  <sheetViews>
    <sheetView tabSelected="1" workbookViewId="0">
      <selection activeCell="B33" sqref="B33"/>
    </sheetView>
  </sheetViews>
  <sheetFormatPr defaultRowHeight="15" x14ac:dyDescent="0.25"/>
  <cols>
    <col min="1" max="1" width="26" bestFit="1" customWidth="1"/>
    <col min="2" max="2" width="15.28515625" bestFit="1" customWidth="1"/>
    <col min="3" max="3" width="14" bestFit="1" customWidth="1"/>
    <col min="4" max="4" width="26.140625" bestFit="1" customWidth="1"/>
    <col min="5" max="5" width="21.140625" bestFit="1" customWidth="1"/>
    <col min="6" max="6" width="19.140625" bestFit="1" customWidth="1"/>
    <col min="7" max="13" width="8.5703125" bestFit="1" customWidth="1"/>
    <col min="14" max="16" width="8.5703125" customWidth="1"/>
    <col min="17" max="19" width="8.5703125" bestFit="1" customWidth="1"/>
  </cols>
  <sheetData>
    <row r="1" spans="1:19" x14ac:dyDescent="0.25">
      <c r="A1" t="s">
        <v>5</v>
      </c>
      <c r="B1" s="1" t="s">
        <v>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t="s">
        <v>2</v>
      </c>
      <c r="B2" s="1">
        <v>1</v>
      </c>
      <c r="C2" s="1"/>
      <c r="D2" s="1"/>
      <c r="E2" s="1">
        <v>2</v>
      </c>
      <c r="F2" s="1"/>
      <c r="G2" s="1"/>
      <c r="H2" s="1">
        <v>4</v>
      </c>
      <c r="I2" s="1"/>
      <c r="J2" s="1"/>
      <c r="K2" s="1">
        <v>6</v>
      </c>
      <c r="L2" s="1"/>
      <c r="M2" s="1"/>
      <c r="N2" s="1">
        <v>8</v>
      </c>
      <c r="O2" s="1"/>
      <c r="P2" s="1"/>
      <c r="Q2" s="1">
        <v>12</v>
      </c>
      <c r="R2" s="1"/>
      <c r="S2" s="1"/>
    </row>
    <row r="3" spans="1:19" x14ac:dyDescent="0.25">
      <c r="A3" t="s">
        <v>3</v>
      </c>
      <c r="B3" s="2">
        <v>7.6688999999999993E-2</v>
      </c>
      <c r="C3" s="2">
        <v>7.7784000000000006E-2</v>
      </c>
      <c r="D3" s="2">
        <v>7.6582999999999998E-2</v>
      </c>
      <c r="E3" s="2">
        <v>3.8438E-2</v>
      </c>
      <c r="F3" s="2">
        <v>3.8137999999999998E-2</v>
      </c>
      <c r="G3" s="2">
        <v>3.814E-2</v>
      </c>
      <c r="H3" s="2">
        <v>1.9349000000000002E-2</v>
      </c>
      <c r="I3" s="2">
        <v>1.9630000000000002E-2</v>
      </c>
      <c r="J3" s="2">
        <v>2.0121E-2</v>
      </c>
      <c r="K3" s="2">
        <v>2.7331999999999999E-2</v>
      </c>
      <c r="L3" s="2">
        <v>2.7754999999999998E-2</v>
      </c>
      <c r="M3" s="2">
        <v>2.1073999999999999E-2</v>
      </c>
      <c r="N3" s="2">
        <v>2.1037E-2</v>
      </c>
      <c r="O3" s="2">
        <v>2.1576999999999999E-2</v>
      </c>
      <c r="P3" s="2">
        <v>2.1603000000000001E-2</v>
      </c>
      <c r="Q3" s="2">
        <v>1.7139999999999999E-2</v>
      </c>
      <c r="R3" s="2">
        <v>1.6795000000000001E-2</v>
      </c>
      <c r="S3" s="2">
        <v>1.7191999999999999E-2</v>
      </c>
    </row>
    <row r="4" spans="1:19" x14ac:dyDescent="0.25">
      <c r="A4" t="s">
        <v>1</v>
      </c>
      <c r="B4" s="4">
        <v>0.25000000000001199</v>
      </c>
      <c r="C4" s="4"/>
      <c r="D4" s="4"/>
      <c r="E4" s="4">
        <v>0.24999999999998901</v>
      </c>
      <c r="F4" s="4"/>
      <c r="G4" s="4"/>
      <c r="H4" s="4">
        <v>0.24999999999999101</v>
      </c>
      <c r="I4" s="4"/>
      <c r="J4" s="4"/>
      <c r="K4" s="4">
        <v>0.24999999999998601</v>
      </c>
      <c r="L4" s="4"/>
      <c r="M4" s="4"/>
      <c r="N4" s="4">
        <v>0.25000000000000899</v>
      </c>
      <c r="O4" s="4"/>
      <c r="P4" s="4"/>
      <c r="Q4" s="4">
        <v>0.25000000000001199</v>
      </c>
      <c r="R4" s="4"/>
      <c r="S4" s="4"/>
    </row>
    <row r="5" spans="1:19" x14ac:dyDescent="0.25">
      <c r="A5" t="s">
        <v>4</v>
      </c>
      <c r="B5" s="3">
        <f>AVERAGE(B3:D3)</f>
        <v>7.7018666666666666E-2</v>
      </c>
      <c r="C5" s="1"/>
      <c r="D5" s="1"/>
      <c r="E5" s="3">
        <f t="shared" ref="E5" si="0">AVERAGE(E3:G3)</f>
        <v>3.8238666666666671E-2</v>
      </c>
      <c r="F5" s="1"/>
      <c r="G5" s="1"/>
      <c r="H5" s="3">
        <f t="shared" ref="H5" si="1">AVERAGE(H3:J3)</f>
        <v>1.9699999999999999E-2</v>
      </c>
      <c r="I5" s="1"/>
      <c r="J5" s="1"/>
      <c r="K5" s="3">
        <f t="shared" ref="K5" si="2">AVERAGE(K3:M3)</f>
        <v>2.5386999999999996E-2</v>
      </c>
      <c r="L5" s="3"/>
      <c r="M5" s="3"/>
      <c r="N5" s="3">
        <f>AVERAGE(N3:P3)</f>
        <v>2.1405666666666667E-2</v>
      </c>
      <c r="O5" s="3"/>
      <c r="P5" s="3"/>
      <c r="Q5" s="3">
        <f t="shared" ref="Q5" si="3">AVERAGE(Q3:S3)</f>
        <v>1.7042333333333333E-2</v>
      </c>
      <c r="R5" s="3"/>
      <c r="S5" s="3"/>
    </row>
    <row r="9" spans="1:19" x14ac:dyDescent="0.25">
      <c r="A9" t="s">
        <v>2</v>
      </c>
      <c r="B9" t="s">
        <v>0</v>
      </c>
      <c r="C9" t="s">
        <v>7</v>
      </c>
      <c r="D9" t="s">
        <v>8</v>
      </c>
      <c r="E9" t="s">
        <v>9</v>
      </c>
      <c r="F9" t="s">
        <v>10</v>
      </c>
    </row>
    <row r="10" spans="1:19" x14ac:dyDescent="0.25">
      <c r="A10">
        <v>1</v>
      </c>
      <c r="B10" s="2">
        <f>B5</f>
        <v>7.7018666666666666E-2</v>
      </c>
      <c r="C10">
        <f>B$10/B10</f>
        <v>1</v>
      </c>
      <c r="D10">
        <f>C10/A10</f>
        <v>1</v>
      </c>
      <c r="E10">
        <f>A10</f>
        <v>1</v>
      </c>
      <c r="F10">
        <v>1</v>
      </c>
    </row>
    <row r="11" spans="1:19" x14ac:dyDescent="0.25">
      <c r="A11">
        <v>2</v>
      </c>
      <c r="B11" s="2">
        <f>E5</f>
        <v>3.8238666666666671E-2</v>
      </c>
      <c r="C11">
        <f t="shared" ref="C11:C15" si="4">B$10/B11</f>
        <v>2.0141567000244081</v>
      </c>
      <c r="D11">
        <f t="shared" ref="D11:D15" si="5">C11/A11</f>
        <v>1.007078350012204</v>
      </c>
      <c r="E11">
        <f t="shared" ref="E11:E15" si="6">A11</f>
        <v>2</v>
      </c>
      <c r="F11">
        <v>1</v>
      </c>
    </row>
    <row r="12" spans="1:19" x14ac:dyDescent="0.25">
      <c r="A12">
        <v>4</v>
      </c>
      <c r="B12" s="2">
        <f>H5</f>
        <v>1.9699999999999999E-2</v>
      </c>
      <c r="C12">
        <f t="shared" si="4"/>
        <v>3.9095769881556683</v>
      </c>
      <c r="D12">
        <f t="shared" si="5"/>
        <v>0.97739424703891709</v>
      </c>
      <c r="E12">
        <f t="shared" si="6"/>
        <v>4</v>
      </c>
      <c r="F12">
        <v>1</v>
      </c>
    </row>
    <row r="13" spans="1:19" x14ac:dyDescent="0.25">
      <c r="A13">
        <v>6</v>
      </c>
      <c r="B13" s="2">
        <f>K5</f>
        <v>2.5386999999999996E-2</v>
      </c>
      <c r="C13">
        <f t="shared" si="4"/>
        <v>3.0337836950670294</v>
      </c>
      <c r="D13">
        <f t="shared" si="5"/>
        <v>0.50563061584450486</v>
      </c>
      <c r="E13">
        <f t="shared" si="6"/>
        <v>6</v>
      </c>
      <c r="F13">
        <v>1</v>
      </c>
    </row>
    <row r="14" spans="1:19" x14ac:dyDescent="0.25">
      <c r="A14">
        <v>8</v>
      </c>
      <c r="B14" s="2">
        <f>N5</f>
        <v>2.1405666666666667E-2</v>
      </c>
      <c r="C14">
        <f t="shared" si="4"/>
        <v>3.5980503604964418</v>
      </c>
      <c r="D14">
        <f t="shared" si="5"/>
        <v>0.44975629506205522</v>
      </c>
      <c r="E14">
        <f t="shared" si="6"/>
        <v>8</v>
      </c>
      <c r="F14">
        <v>1</v>
      </c>
    </row>
    <row r="15" spans="1:19" x14ac:dyDescent="0.25">
      <c r="A15">
        <v>12</v>
      </c>
      <c r="B15" s="2">
        <f>Q5</f>
        <v>1.7042333333333333E-2</v>
      </c>
      <c r="C15">
        <f t="shared" si="4"/>
        <v>4.5192559704265847</v>
      </c>
      <c r="D15">
        <f t="shared" si="5"/>
        <v>0.37660466420221539</v>
      </c>
      <c r="E15">
        <f t="shared" si="6"/>
        <v>12</v>
      </c>
      <c r="F15">
        <v>1</v>
      </c>
    </row>
  </sheetData>
  <mergeCells count="19">
    <mergeCell ref="N2:P2"/>
    <mergeCell ref="N4:P4"/>
    <mergeCell ref="N5:P5"/>
    <mergeCell ref="B5:D5"/>
    <mergeCell ref="E5:G5"/>
    <mergeCell ref="H5:J5"/>
    <mergeCell ref="K5:M5"/>
    <mergeCell ref="Q5:S5"/>
    <mergeCell ref="B1:S1"/>
    <mergeCell ref="B2:D2"/>
    <mergeCell ref="E2:G2"/>
    <mergeCell ref="H2:J2"/>
    <mergeCell ref="K2:M2"/>
    <mergeCell ref="Q2:S2"/>
    <mergeCell ref="B4:D4"/>
    <mergeCell ref="E4:G4"/>
    <mergeCell ref="H4:J4"/>
    <mergeCell ref="K4:M4"/>
    <mergeCell ref="Q4:S4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A98E5-0E45-4F7E-8797-96C5F81B9857}">
  <dimension ref="A1:S14"/>
  <sheetViews>
    <sheetView workbookViewId="0">
      <selection activeCell="D18" sqref="D18"/>
    </sheetView>
  </sheetViews>
  <sheetFormatPr defaultRowHeight="15" x14ac:dyDescent="0.25"/>
  <cols>
    <col min="1" max="1" width="26" bestFit="1" customWidth="1"/>
    <col min="2" max="2" width="15.28515625" bestFit="1" customWidth="1"/>
    <col min="3" max="3" width="14" bestFit="1" customWidth="1"/>
    <col min="4" max="4" width="26.140625" bestFit="1" customWidth="1"/>
    <col min="5" max="5" width="21.140625" bestFit="1" customWidth="1"/>
    <col min="6" max="6" width="19.140625" bestFit="1" customWidth="1"/>
    <col min="7" max="17" width="8.5703125" bestFit="1" customWidth="1"/>
    <col min="19" max="19" width="8.5703125" bestFit="1" customWidth="1"/>
  </cols>
  <sheetData>
    <row r="1" spans="1:19" x14ac:dyDescent="0.25">
      <c r="A1" t="s">
        <v>5</v>
      </c>
      <c r="B1" s="1" t="s">
        <v>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t="s">
        <v>2</v>
      </c>
      <c r="B2" s="1">
        <v>1</v>
      </c>
      <c r="C2" s="1"/>
      <c r="D2" s="1"/>
      <c r="E2" s="1">
        <v>2</v>
      </c>
      <c r="F2" s="1"/>
      <c r="G2" s="1"/>
      <c r="H2" s="1">
        <v>4</v>
      </c>
      <c r="I2" s="1"/>
      <c r="J2" s="1"/>
      <c r="K2" s="1">
        <v>6</v>
      </c>
      <c r="L2" s="1"/>
      <c r="M2" s="1"/>
      <c r="N2" s="1">
        <v>8</v>
      </c>
      <c r="O2" s="1"/>
      <c r="P2" s="1"/>
      <c r="Q2" s="1">
        <v>12</v>
      </c>
      <c r="R2" s="1"/>
      <c r="S2" s="1"/>
    </row>
    <row r="3" spans="1:19" x14ac:dyDescent="0.25">
      <c r="A3" t="s">
        <v>3</v>
      </c>
      <c r="B3" s="2">
        <v>6.5575999999999995E-2</v>
      </c>
      <c r="C3" s="2">
        <v>6.4551999999999998E-2</v>
      </c>
      <c r="D3" s="2">
        <v>6.4332E-2</v>
      </c>
      <c r="E3" s="2">
        <v>3.2111000000000001E-2</v>
      </c>
      <c r="F3" s="2">
        <v>3.1338999999999999E-2</v>
      </c>
      <c r="G3" s="2">
        <v>3.2001000000000002E-2</v>
      </c>
      <c r="H3" s="2">
        <v>1.6802000000000001E-2</v>
      </c>
      <c r="I3" s="2">
        <v>1.636E-2</v>
      </c>
      <c r="J3" s="2">
        <v>1.6879000000000002E-2</v>
      </c>
      <c r="K3" s="2">
        <v>1.5681E-2</v>
      </c>
      <c r="L3" s="2">
        <v>1.5868E-2</v>
      </c>
      <c r="M3" s="2">
        <v>1.5803999999999999E-2</v>
      </c>
      <c r="N3" s="2">
        <v>1.4569E-2</v>
      </c>
      <c r="O3" s="2">
        <v>1.5429999999999999E-2</v>
      </c>
      <c r="P3" s="2">
        <v>1.5219E-2</v>
      </c>
      <c r="Q3" s="2">
        <v>1.6337999999999998E-2</v>
      </c>
      <c r="R3" s="2">
        <v>1.5606E-2</v>
      </c>
      <c r="S3" s="2">
        <v>1.5831999999999999E-2</v>
      </c>
    </row>
    <row r="4" spans="1:19" x14ac:dyDescent="0.25">
      <c r="A4" t="s">
        <v>4</v>
      </c>
      <c r="B4" s="3">
        <f>AVERAGE(B3:D3)</f>
        <v>6.4820000000000003E-2</v>
      </c>
      <c r="C4" s="1"/>
      <c r="D4" s="1"/>
      <c r="E4" s="3">
        <f>AVERAGE(E3:G3)</f>
        <v>3.1817000000000005E-2</v>
      </c>
      <c r="F4" s="1"/>
      <c r="G4" s="1"/>
      <c r="H4" s="3">
        <f>AVERAGE(H3:J3)</f>
        <v>1.6680333333333335E-2</v>
      </c>
      <c r="I4" s="1"/>
      <c r="J4" s="1"/>
      <c r="K4" s="3">
        <f>AVERAGE(K3:M3)</f>
        <v>1.5784333333333334E-2</v>
      </c>
      <c r="L4" s="3"/>
      <c r="M4" s="3"/>
      <c r="N4" s="3">
        <f>AVERAGE(N3:P3)</f>
        <v>1.5072666666666665E-2</v>
      </c>
      <c r="O4" s="3"/>
      <c r="P4" s="3"/>
      <c r="Q4" s="3">
        <f>AVERAGE(Q3:S3)</f>
        <v>1.5925333333333333E-2</v>
      </c>
      <c r="R4" s="3"/>
      <c r="S4" s="3"/>
    </row>
    <row r="8" spans="1:19" x14ac:dyDescent="0.25">
      <c r="A8" t="s">
        <v>2</v>
      </c>
      <c r="B8" t="s">
        <v>0</v>
      </c>
      <c r="C8" t="s">
        <v>7</v>
      </c>
      <c r="D8" t="s">
        <v>8</v>
      </c>
      <c r="E8" t="s">
        <v>9</v>
      </c>
      <c r="F8" t="s">
        <v>10</v>
      </c>
    </row>
    <row r="9" spans="1:19" x14ac:dyDescent="0.25">
      <c r="A9">
        <v>1</v>
      </c>
      <c r="B9" s="2">
        <f>B4</f>
        <v>6.4820000000000003E-2</v>
      </c>
      <c r="C9">
        <f>B$9/B9</f>
        <v>1</v>
      </c>
      <c r="D9">
        <f>C9/A9</f>
        <v>1</v>
      </c>
      <c r="E9">
        <f>A9</f>
        <v>1</v>
      </c>
      <c r="F9">
        <v>1</v>
      </c>
    </row>
    <row r="10" spans="1:19" x14ac:dyDescent="0.25">
      <c r="A10">
        <v>2</v>
      </c>
      <c r="B10" s="2">
        <f>E4</f>
        <v>3.1817000000000005E-2</v>
      </c>
      <c r="C10">
        <f t="shared" ref="C10:C14" si="0">B$9/B10</f>
        <v>2.0372756702391799</v>
      </c>
      <c r="D10">
        <f t="shared" ref="D10:D14" si="1">C10/A10</f>
        <v>1.0186378351195899</v>
      </c>
      <c r="E10">
        <f t="shared" ref="E10:E14" si="2">A10</f>
        <v>2</v>
      </c>
      <c r="F10">
        <v>1</v>
      </c>
    </row>
    <row r="11" spans="1:19" x14ac:dyDescent="0.25">
      <c r="A11">
        <v>4</v>
      </c>
      <c r="B11" s="2">
        <f>H4</f>
        <v>1.6680333333333335E-2</v>
      </c>
      <c r="C11">
        <f t="shared" si="0"/>
        <v>3.8860134689554564</v>
      </c>
      <c r="D11">
        <f t="shared" si="1"/>
        <v>0.9715033672388641</v>
      </c>
      <c r="E11">
        <f t="shared" si="2"/>
        <v>4</v>
      </c>
      <c r="F11">
        <v>1</v>
      </c>
    </row>
    <row r="12" spans="1:19" x14ac:dyDescent="0.25">
      <c r="A12">
        <v>6</v>
      </c>
      <c r="B12" s="2">
        <f>K4</f>
        <v>1.5784333333333334E-2</v>
      </c>
      <c r="C12">
        <f t="shared" si="0"/>
        <v>4.1066035942812489</v>
      </c>
      <c r="D12">
        <f t="shared" si="1"/>
        <v>0.68443393238020811</v>
      </c>
      <c r="E12">
        <f t="shared" si="2"/>
        <v>6</v>
      </c>
      <c r="F12">
        <v>1</v>
      </c>
    </row>
    <row r="13" spans="1:19" x14ac:dyDescent="0.25">
      <c r="A13">
        <v>8</v>
      </c>
      <c r="B13" s="2">
        <f>N4</f>
        <v>1.5072666666666665E-2</v>
      </c>
      <c r="C13">
        <f t="shared" si="0"/>
        <v>4.3004998009642188</v>
      </c>
      <c r="D13">
        <f t="shared" si="1"/>
        <v>0.53756247512052735</v>
      </c>
      <c r="E13">
        <f t="shared" si="2"/>
        <v>8</v>
      </c>
      <c r="F13">
        <v>1</v>
      </c>
    </row>
    <row r="14" spans="1:19" x14ac:dyDescent="0.25">
      <c r="A14">
        <v>12</v>
      </c>
      <c r="B14" s="2">
        <f>Q4</f>
        <v>1.5925333333333333E-2</v>
      </c>
      <c r="C14">
        <f t="shared" si="0"/>
        <v>4.070244474212994</v>
      </c>
      <c r="D14">
        <f t="shared" si="1"/>
        <v>0.33918703951774948</v>
      </c>
      <c r="E14">
        <f t="shared" si="2"/>
        <v>12</v>
      </c>
      <c r="F14">
        <v>1</v>
      </c>
    </row>
  </sheetData>
  <mergeCells count="13">
    <mergeCell ref="B4:D4"/>
    <mergeCell ref="E4:G4"/>
    <mergeCell ref="H4:J4"/>
    <mergeCell ref="K4:M4"/>
    <mergeCell ref="N4:P4"/>
    <mergeCell ref="Q4:S4"/>
    <mergeCell ref="B1:S1"/>
    <mergeCell ref="B2:D2"/>
    <mergeCell ref="E2:G2"/>
    <mergeCell ref="H2:J2"/>
    <mergeCell ref="K2:M2"/>
    <mergeCell ref="N2:P2"/>
    <mergeCell ref="Q2:S2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calka</vt:lpstr>
      <vt:lpstr>mat_vec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Miłosz Dębowski</dc:creator>
  <cp:lastModifiedBy>Miłosz Dębowski</cp:lastModifiedBy>
  <dcterms:created xsi:type="dcterms:W3CDTF">2025-01-12T16:44:39Z</dcterms:created>
  <dcterms:modified xsi:type="dcterms:W3CDTF">2025-01-12T18:07:10Z</dcterms:modified>
</cp:coreProperties>
</file>